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5a708cd75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总览" sheetId="1" r:id="R518474ae348d44a0"/>
    <x:sheet xmlns:r="http://schemas.openxmlformats.org/officeDocument/2006/relationships" name="执行时间" sheetId="2" r:id="R490a097fc9b34312"/>
    <x:sheet xmlns:r="http://schemas.openxmlformats.org/officeDocument/2006/relationships" name="编写效率" sheetId="3" r:id="Ra79f89e3e77c4553"/>
    <x:sheet xmlns:r="http://schemas.openxmlformats.org/officeDocument/2006/relationships" name="定位时间" sheetId="4" r:id="Rcb6c87b82bb54dfe"/>
    <x:sheet xmlns:r="http://schemas.openxmlformats.org/officeDocument/2006/relationships" name="覆盖率" sheetId="5" r:id="R08e1fdec599c44ab"/>
    <x:sheet xmlns:r="http://schemas.openxmlformats.org/officeDocument/2006/relationships" name="稳定性" sheetId="6" r:id="R48f0750faf1847b3"/>
    <x:sheet xmlns:r="http://schemas.openxmlformats.org/officeDocument/2006/relationships" name="缺陷检出" sheetId="7" r:id="Rb7b8e55414d544fd"/>
    <x:sheet xmlns:r="http://schemas.openxmlformats.org/officeDocument/2006/relationships" name="维护与环境" sheetId="8" r:id="Rd3b44b5ec274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  <x:font>
      <x:sz val="11"/>
      <x:color rgb="FF0070C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D9E2F3"/>
      </x:right>
      <x:top style="thin">
        <x:color rgb="FFB4C6E7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B4C6E7"/>
      </x:top>
      <x:bottom style="thin">
        <x:color rgb="FFD9E2F3"/>
      </x:bottom>
    </x:border>
    <x:border>
      <x:left style="thin">
        <x:color rgb="FFB4C6E7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0" fontId="4" fillId="5" borderId="6" xfId="0" applyNumberFormat="1" applyFont="1" applyFill="1" applyBorder="1"/>
    <x:xf numFmtId="0" fontId="4" fillId="5" borderId="9" xfId="0" applyNumberFormat="1" applyFont="1" applyFill="1" applyBorder="1"/>
    <x:xf numFmtId="200" fontId="4" fillId="5" borderId="6" xfId="0" applyNumberFormat="1" applyFont="1" applyFill="1" applyBorder="1"/>
    <x:xf numFmtId="200" fontId="4" fillId="5" borderId="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201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201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201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7" borderId="5" xfId="0" applyNumberFormat="1" applyFont="1" applyFill="1" applyBorder="1"/>
    <x:xf numFmtId="201" fontId="0" fillId="7" borderId="6" xfId="0" applyNumberFormat="1" applyFont="1" applyFill="1" applyBorder="1"/>
    <x:xf numFmtId="0" fontId="0" fillId="7" borderId="8" xfId="0" applyNumberFormat="1" applyFont="1" applyFill="1" applyBorder="1"/>
    <x:xf numFmtId="201" fontId="0" fillId="7" borderId="9" xfId="0" applyNumberFormat="1" applyFont="1" applyFill="1" applyBorder="1"/>
    <x:xf numFmtId="0" fontId="6" fillId="7" borderId="5" xfId="0" applyNumberFormat="1" applyFont="1" applyFill="1" applyBorder="1"/>
    <x:xf numFmtId="201" fontId="6" fillId="7" borderId="6" xfId="0" applyNumberFormat="1" applyFont="1" applyFill="1" applyBorder="1"/>
    <x:xf numFmtId="0" fontId="6" fillId="7" borderId="8" xfId="0" applyNumberFormat="1" applyFont="1" applyFill="1" applyBorder="1"/>
    <x:xf numFmtId="201" fontId="6" fillId="7" borderId="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6" fillId="7" borderId="5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6" fillId="7" borderId="7" xfId="0" applyNumberFormat="1" applyFont="1" applyFill="1" applyBorder="1" applyAlignment="1">
      <x:alignment vertical="center"/>
    </x:xf>
    <x:xf numFmtId="201" fontId="6" fillId="7" borderId="8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/>
    </x:xf>
    <x:xf numFmtId="0" fontId="6" fillId="7" borderId="1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201" fontId="6" fillId="7" borderId="6" xfId="0" applyNumberFormat="1" applyFont="1" applyFill="1" applyBorder="1" applyAlignment="1">
      <x:alignment vertical="center"/>
    </x:xf>
    <x:xf numFmtId="0" fontId="6" fillId="7" borderId="8" xfId="0" applyNumberFormat="1" applyFont="1" applyFill="1" applyBorder="1" applyAlignment="1">
      <x:alignment vertical="center"/>
    </x:xf>
    <x:xf numFmtId="201" fontId="6" fillId="7" borderId="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870ddddfa4be2" /><Relationship Type="http://schemas.openxmlformats.org/officeDocument/2006/relationships/theme" Target="/xl/theme/theme1.xml" Id="Rbc7e69bfc2cf4a5f" /><Relationship Type="http://schemas.openxmlformats.org/officeDocument/2006/relationships/sharedStrings" Target="/xl/sharedStrings.xml" Id="R755a5470370246a4" /><Relationship Type="http://schemas.openxmlformats.org/officeDocument/2006/relationships/worksheet" Target="/xl/worksheets/sheet1.xml" Id="R518474ae348d44a0" /><Relationship Type="http://schemas.openxmlformats.org/officeDocument/2006/relationships/worksheet" Target="/xl/worksheets/sheet2.xml" Id="R490a097fc9b34312" /><Relationship Type="http://schemas.openxmlformats.org/officeDocument/2006/relationships/worksheet" Target="/xl/worksheets/sheet3.xml" Id="Ra79f89e3e77c4553" /><Relationship Type="http://schemas.openxmlformats.org/officeDocument/2006/relationships/worksheet" Target="/xl/worksheets/sheet4.xml" Id="Rcb6c87b82bb54dfe" /><Relationship Type="http://schemas.openxmlformats.org/officeDocument/2006/relationships/worksheet" Target="/xl/worksheets/sheet5.xml" Id="R08e1fdec599c44ab" /><Relationship Type="http://schemas.openxmlformats.org/officeDocument/2006/relationships/worksheet" Target="/xl/worksheets/sheet6.xml" Id="R48f0750faf1847b3" /><Relationship Type="http://schemas.openxmlformats.org/officeDocument/2006/relationships/worksheet" Target="/xl/worksheets/sheet7.xml" Id="Rb7b8e55414d544fd" /><Relationship Type="http://schemas.openxmlformats.org/officeDocument/2006/relationships/worksheet" Target="/xl/worksheets/sheet8.xml" Id="Rd3b44b5ec274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  <x:col min="4" max="4" width="18" hidden="0" customWidth="1"/>
  </x:cols>
  <x:sheetData>
    <x:row r="1" ht="30" customHeight="1">
      <x:c r="A1" s="3" t="str">
        <x:v>接口自动化测试项目量化指标总览</x:v>
      </x:c>
      <x:c r="B1" s="3"/>
      <x:c r="C1" s="3"/>
      <x:c r="D1" s="3"/>
      <x:c r="E1" s="3"/>
      <x:c r="F1" s="3"/>
    </x:row>
    <x:row r="2" ht="34" customHeight="1">
      <x:c r="A2" s="6" t="str">
        <x:v>绿色单元格由各测量表自动计算；只有完成真实测量后，才能把结果写入简历。</x:v>
      </x:c>
      <x:c r="B2" s="6"/>
      <x:c r="C2" s="6"/>
      <x:c r="D2" s="6"/>
      <x:c r="E2" s="6"/>
      <x:c r="F2" s="6"/>
    </x:row>
    <x:row r="4" ht="28" customHeight="1">
      <x:c r="A4" s="13" t="str">
        <x:v>指标</x:v>
      </x:c>
      <x:c r="B4" s="14" t="str">
        <x:v>当前结果</x:v>
      </x:c>
      <x:c r="C4" s="14" t="str">
        <x:v>建议简历口径</x:v>
      </x:c>
      <x:c r="D4" s="15" t="str">
        <x:v>证据工作表</x:v>
      </x:c>
    </x:row>
    <x:row r="5">
      <x:c r="A5" s="16" t="str">
        <x:v>测试执行时间减少率</x:v>
      </x:c>
      <x:c r="B5" s="26" t="n">
        <x:f>'执行时间'!B15</x:f>
        <x:v>0</x:v>
      </x:c>
      <x:c r="C5" s="17" t="str">
        <x:v>手工与自动化各3轮取平均</x:v>
      </x:c>
      <x:c r="D5" s="18" t="str">
        <x:v>执行时间</x:v>
      </x:c>
    </x:row>
    <x:row r="6">
      <x:c r="A6" s="16" t="str">
        <x:v>用例编写效率提升率</x:v>
      </x:c>
      <x:c r="B6" s="26" t="n">
        <x:f>'编写效率'!B15</x:f>
        <x:v>0</x:v>
      </x:c>
      <x:c r="C6" s="17" t="str">
        <x:v>同一组10条场景进行对照</x:v>
      </x:c>
      <x:c r="D6" s="18" t="str">
        <x:v>编写效率</x:v>
      </x:c>
    </x:row>
    <x:row r="7">
      <x:c r="A7" s="16" t="str">
        <x:v>问题定位时间缩短率</x:v>
      </x:c>
      <x:c r="B7" s="26" t="n">
        <x:f>'定位时间'!B11</x:f>
        <x:v>0</x:v>
      </x:c>
      <x:c r="C7" s="17" t="str">
        <x:v>至少5个故障场景取平均</x:v>
      </x:c>
      <x:c r="D7" s="18" t="str">
        <x:v>定位时间</x:v>
      </x:c>
    </x:row>
    <x:row r="8">
      <x:c r="A8" s="16" t="str">
        <x:v>自动化场景覆盖率</x:v>
      </x:c>
      <x:c r="B8" s="26" t="n">
        <x:f>'覆盖率'!B12</x:f>
        <x:v>0</x:v>
      </x:c>
      <x:c r="C8" s="17" t="str">
        <x:v>已自动化场景/可自动化场景</x:v>
      </x:c>
      <x:c r="D8" s="18" t="str">
        <x:v>覆盖率</x:v>
      </x:c>
    </x:row>
    <x:row r="9">
      <x:c r="A9" s="16" t="str">
        <x:v>自动化执行稳定性</x:v>
      </x:c>
      <x:c r="B9" s="26" t="n">
        <x:f>'稳定性'!B59</x:f>
        <x:v>0</x:v>
      </x:c>
      <x:c r="C9" s="17" t="str">
        <x:v>建议连续执行50轮</x:v>
      </x:c>
      <x:c r="D9" s="18" t="str">
        <x:v>稳定性</x:v>
      </x:c>
    </x:row>
    <x:row r="10">
      <x:c r="A10" s="16" t="str">
        <x:v>缺陷注入检出率</x:v>
      </x:c>
      <x:c r="B10" s="26" t="n">
        <x:f>'缺陷检出'!B18</x:f>
        <x:v>0</x:v>
      </x:c>
      <x:c r="C10" s="17" t="str">
        <x:v>已检出缺陷/注入缺陷</x:v>
      </x:c>
      <x:c r="D10" s="18" t="str">
        <x:v>缺陷检出</x:v>
      </x:c>
    </x:row>
    <x:row r="11">
      <x:c r="A11" s="19" t="str">
        <x:v>维护耗时减少率</x:v>
      </x:c>
      <x:c r="B11" s="27" t="n">
        <x:f>'维护与环境'!B10</x:f>
        <x:v>0</x:v>
      </x:c>
      <x:c r="C11" s="20" t="str">
        <x:v>同一变更在两种实现下对照</x:v>
      </x:c>
      <x:c r="D11" s="21" t="str">
        <x:v>维护与环境</x:v>
      </x:c>
    </x:row>
    <x:row r="13" ht="32" customHeight="1">
      <x:c r="A13" s="30" t="str">
        <x:v>当前已验证事实：20条用例全量通过，最近一次完整执行耗时2.95秒；该事实不等同于长期稳定性100%。</x:v>
      </x:c>
      <x:c r="B13" s="30"/>
      <x:c r="C13" s="30"/>
      <x:c r="D13" s="30"/>
      <x:c r="E13" s="30"/>
      <x:c r="F13" s="30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5" hidden="0" customWidth="1"/>
    <x:col min="2" max="2" width="6" hidden="0" customWidth="1"/>
    <x:col min="3" max="3" width="4.25" hidden="0" customWidth="1"/>
    <x:col min="4" max="4" width="6" hidden="0" customWidth="1"/>
    <x:col min="5" max="5" width="7.25" hidden="0" customWidth="1"/>
    <x:col min="6" max="6" width="26" hidden="0" customWidth="1"/>
  </x:cols>
  <x:sheetData>
    <x:row r="1" ht="30" customHeight="1">
      <x:c r="A1" s="3" t="str">
        <x:v>测试执行时间测量</x:v>
      </x:c>
      <x:c r="B1" s="3"/>
      <x:c r="C1" s="3"/>
      <x:c r="D1" s="3"/>
      <x:c r="E1" s="3"/>
      <x:c r="F1" s="3"/>
    </x:row>
    <x:row r="2" ht="34" customHeight="1">
      <x:c r="A2" s="65" t="str">
        <x:v>同一批20条场景，手工和自动化分别执行3轮；所有耗时统一填写秒。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 ht="28" customHeight="1">
      <x:c r="A4" s="13" t="str">
        <x:v>日期</x:v>
      </x:c>
      <x:c r="B4" s="14" t="str">
        <x:v>方式</x:v>
      </x:c>
      <x:c r="C4" s="14" t="str">
        <x:v>轮次</x:v>
      </x:c>
      <x:c r="D4" s="14" t="str">
        <x:v>场景数</x:v>
      </x:c>
      <x:c r="E4" s="14" t="str">
        <x:v>耗时(秒)</x:v>
      </x:c>
      <x:c r="F4" s="15" t="str">
        <x:v>备注</x:v>
      </x:c>
    </x:row>
    <x:row r="5">
      <x:c r="A5" s="67"/>
      <x:c r="B5" s="68" t="str">
        <x:v>手工</x:v>
      </x:c>
      <x:c r="C5" s="68" t="n">
        <x:v>1</x:v>
      </x:c>
      <x:c r="D5" s="68" t="n">
        <x:v>20</x:v>
      </x:c>
      <x:c r="E5" s="68"/>
      <x:c r="F5" s="69"/>
    </x:row>
    <x:row r="6">
      <x:c r="A6" s="67"/>
      <x:c r="B6" s="68" t="str">
        <x:v>手工</x:v>
      </x:c>
      <x:c r="C6" s="68" t="n">
        <x:v>2</x:v>
      </x:c>
      <x:c r="D6" s="68" t="n">
        <x:v>20</x:v>
      </x:c>
      <x:c r="E6" s="68"/>
      <x:c r="F6" s="69"/>
    </x:row>
    <x:row r="7">
      <x:c r="A7" s="67"/>
      <x:c r="B7" s="68" t="str">
        <x:v>手工</x:v>
      </x:c>
      <x:c r="C7" s="68" t="n">
        <x:v>3</x:v>
      </x:c>
      <x:c r="D7" s="68" t="n">
        <x:v>20</x:v>
      </x:c>
      <x:c r="E7" s="68"/>
      <x:c r="F7" s="69"/>
    </x:row>
    <x:row r="8">
      <x:c r="A8" s="67" t="n">
        <x:v>46238</x:v>
      </x:c>
      <x:c r="B8" s="68" t="str">
        <x:v>自动化</x:v>
      </x:c>
      <x:c r="C8" s="68" t="n">
        <x:v>1</x:v>
      </x:c>
      <x:c r="D8" s="68" t="n">
        <x:v>20</x:v>
      </x:c>
      <x:c r="E8" s="68" t="n">
        <x:v>2.95</x:v>
      </x:c>
      <x:c r="F8" s="69" t="str">
        <x:v>当前项目实测</x:v>
      </x:c>
    </x:row>
    <x:row r="9">
      <x:c r="A9" s="67"/>
      <x:c r="B9" s="68" t="str">
        <x:v>自动化</x:v>
      </x:c>
      <x:c r="C9" s="68" t="n">
        <x:v>2</x:v>
      </x:c>
      <x:c r="D9" s="68" t="n">
        <x:v>20</x:v>
      </x:c>
      <x:c r="E9" s="68"/>
      <x:c r="F9" s="69"/>
    </x:row>
    <x:row r="10">
      <x:c r="A10" s="70"/>
      <x:c r="B10" s="71" t="str">
        <x:v>自动化</x:v>
      </x:c>
      <x:c r="C10" s="71" t="n">
        <x:v>3</x:v>
      </x:c>
      <x:c r="D10" s="71" t="n">
        <x:v>20</x:v>
      </x:c>
      <x:c r="E10" s="71"/>
      <x:c r="F10" s="72"/>
    </x:row>
    <x:row r="11">
      <x:c r="A11" s="66"/>
      <x:c r="B11" s="66"/>
      <x:c r="C11" s="66"/>
      <x:c r="D11" s="66"/>
      <x:c r="E11" s="66"/>
      <x:c r="F11" s="66"/>
    </x:row>
    <x:row r="12">
      <x:c r="A12" s="73" t="str">
        <x:v>指标</x:v>
      </x:c>
      <x:c r="B12" s="74" t="str">
        <x:v>结果</x:v>
      </x:c>
      <x:c r="C12" s="66"/>
      <x:c r="D12" s="66"/>
      <x:c r="E12" s="66"/>
      <x:c r="F12" s="66"/>
    </x:row>
    <x:row r="13">
      <x:c r="A13" s="73" t="str">
        <x:v>手工平均耗时(秒)</x:v>
      </x:c>
      <x:c r="B13" s="74" t="n">
        <x:f>IFERROR(AVERAGE(E5:E7),0)</x:f>
        <x:v>0</x:v>
      </x:c>
      <x:c r="C13" s="66"/>
      <x:c r="D13" s="66"/>
      <x:c r="E13" s="66"/>
      <x:c r="F13" s="66"/>
    </x:row>
    <x:row r="14">
      <x:c r="A14" s="73" t="str">
        <x:v>自动化平均耗时(秒)</x:v>
      </x:c>
      <x:c r="B14" s="74" t="n">
        <x:f>IFERROR(AVERAGE(E8:E10),0)</x:f>
        <x:v>2.95</x:v>
      </x:c>
      <x:c r="C14" s="66"/>
      <x:c r="D14" s="66"/>
      <x:c r="E14" s="66"/>
      <x:c r="F14" s="66"/>
    </x:row>
    <x:row r="15">
      <x:c r="A15" s="73" t="str">
        <x:v>执行时间减少率</x:v>
      </x:c>
      <x:c r="B15" s="75" t="n">
        <x:f>IFERROR((B13-B14)/B13,0)</x:f>
        <x:v>0</x:v>
      </x:c>
      <x:c r="C15" s="66"/>
      <x:c r="D15" s="66"/>
      <x:c r="E15" s="66"/>
      <x:c r="F15" s="66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25" hidden="0" customWidth="1"/>
    <x:col min="2" max="2" width="12" hidden="0" customWidth="1"/>
    <x:col min="3" max="3" width="6" hidden="0" customWidth="1"/>
    <x:col min="4" max="4" width="9" hidden="0" customWidth="1"/>
    <x:col min="5" max="5" width="25" hidden="0" customWidth="1"/>
    <x:col min="6" max="6" width="25" hidden="0" customWidth="1"/>
  </x:cols>
  <x:sheetData>
    <x:row r="1" ht="30" customHeight="1">
      <x:c r="A1" s="3" t="str">
        <x:v>用例编写效率测量</x:v>
      </x:c>
      <x:c r="B1" s="3"/>
      <x:c r="C1" s="3"/>
      <x:c r="D1" s="3"/>
      <x:c r="E1" s="3"/>
      <x:c r="F1" s="3"/>
    </x:row>
    <x:row r="2" ht="34" customHeight="1">
      <x:c r="A2" s="65" t="str">
        <x:v>针对完全相同的10条场景，分别使用独立Python函数和YAML数据驱动实现。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 ht="28" customHeight="1">
      <x:c r="A4" s="13" t="str">
        <x:v>日期</x:v>
      </x:c>
      <x:c r="B4" s="14" t="str">
        <x:v>方式</x:v>
      </x:c>
      <x:c r="C4" s="14" t="str">
        <x:v>场景数</x:v>
      </x:c>
      <x:c r="D4" s="14" t="str">
        <x:v>耗时(分钟)</x:v>
      </x:c>
      <x:c r="E4" s="14" t="str">
        <x:v>实现要求</x:v>
      </x:c>
      <x:c r="F4" s="15" t="str">
        <x:v>备注</x:v>
      </x:c>
    </x:row>
    <x:row r="5">
      <x:c r="A5" s="67"/>
      <x:c r="B5" s="68" t="str">
        <x:v>传统独立脚本</x:v>
      </x:c>
      <x:c r="C5" s="68" t="n">
        <x:v>10</x:v>
      </x:c>
      <x:c r="D5" s="68"/>
      <x:c r="E5" s="68" t="str">
        <x:v>请求、断言、日志一致</x:v>
      </x:c>
      <x:c r="F5" s="69"/>
    </x:row>
    <x:row r="6">
      <x:c r="A6" s="67"/>
      <x:c r="B6" s="68" t="str">
        <x:v>YAML数据驱动</x:v>
      </x:c>
      <x:c r="C6" s="68" t="n">
        <x:v>10</x:v>
      </x:c>
      <x:c r="D6" s="68"/>
      <x:c r="E6" s="68" t="str">
        <x:v>请求、断言、日志一致</x:v>
      </x:c>
      <x:c r="F6" s="69"/>
    </x:row>
    <x:row r="7">
      <x:c r="A7" s="67"/>
      <x:c r="B7" s="68" t="str">
        <x:v>传统独立脚本</x:v>
      </x:c>
      <x:c r="C7" s="68" t="n">
        <x:v>10</x:v>
      </x:c>
      <x:c r="D7" s="68"/>
      <x:c r="E7" s="68" t="str">
        <x:v>第二轮</x:v>
      </x:c>
      <x:c r="F7" s="69"/>
    </x:row>
    <x:row r="8">
      <x:c r="A8" s="67"/>
      <x:c r="B8" s="68" t="str">
        <x:v>YAML数据驱动</x:v>
      </x:c>
      <x:c r="C8" s="68" t="n">
        <x:v>10</x:v>
      </x:c>
      <x:c r="D8" s="68"/>
      <x:c r="E8" s="68" t="str">
        <x:v>第二轮</x:v>
      </x:c>
      <x:c r="F8" s="69"/>
    </x:row>
    <x:row r="9">
      <x:c r="A9" s="67"/>
      <x:c r="B9" s="68" t="str">
        <x:v>传统独立脚本</x:v>
      </x:c>
      <x:c r="C9" s="68" t="n">
        <x:v>10</x:v>
      </x:c>
      <x:c r="D9" s="68"/>
      <x:c r="E9" s="68" t="str">
        <x:v>第三轮</x:v>
      </x:c>
      <x:c r="F9" s="69"/>
    </x:row>
    <x:row r="10">
      <x:c r="A10" s="70"/>
      <x:c r="B10" s="71" t="str">
        <x:v>YAML数据驱动</x:v>
      </x:c>
      <x:c r="C10" s="71" t="n">
        <x:v>10</x:v>
      </x:c>
      <x:c r="D10" s="71"/>
      <x:c r="E10" s="71" t="str">
        <x:v>第三轮</x:v>
      </x:c>
      <x:c r="F10" s="72"/>
    </x:row>
    <x:row r="11">
      <x:c r="A11" s="66"/>
      <x:c r="B11" s="66"/>
      <x:c r="C11" s="66"/>
      <x:c r="D11" s="66"/>
      <x:c r="E11" s="66"/>
      <x:c r="F11" s="66"/>
    </x:row>
    <x:row r="12">
      <x:c r="A12" s="73" t="str">
        <x:v>指标</x:v>
      </x:c>
      <x:c r="B12" s="74" t="str">
        <x:v>结果</x:v>
      </x:c>
      <x:c r="C12" s="66"/>
      <x:c r="D12" s="66"/>
      <x:c r="E12" s="66"/>
      <x:c r="F12" s="66"/>
    </x:row>
    <x:row r="13">
      <x:c r="A13" s="73" t="str">
        <x:v>传统平均耗时(分钟)</x:v>
      </x:c>
      <x:c r="B13" s="74" t="n">
        <x:f>IFERROR(AVERAGE(D5,D7,D9),0)</x:f>
        <x:v>0</x:v>
      </x:c>
      <x:c r="C13" s="66"/>
      <x:c r="D13" s="66"/>
      <x:c r="E13" s="66"/>
      <x:c r="F13" s="66"/>
    </x:row>
    <x:row r="14">
      <x:c r="A14" s="73" t="str">
        <x:v>数据驱动平均耗时(分钟)</x:v>
      </x:c>
      <x:c r="B14" s="74" t="n">
        <x:f>IFERROR(AVERAGE(D6,D8,D10),0)</x:f>
        <x:v>0</x:v>
      </x:c>
      <x:c r="C14" s="66"/>
      <x:c r="D14" s="66"/>
      <x:c r="E14" s="66"/>
      <x:c r="F14" s="66"/>
    </x:row>
    <x:row r="15">
      <x:c r="A15" s="73" t="str">
        <x:v>编写效率提升率</x:v>
      </x:c>
      <x:c r="B15" s="75" t="n">
        <x:f>IFERROR((B13-B14)/B13,0)</x:f>
        <x:v>0</x:v>
      </x:c>
      <x:c r="C15" s="66"/>
      <x:c r="D15" s="66"/>
      <x:c r="E15" s="66"/>
      <x:c r="F15" s="66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75" hidden="0" customWidth="1"/>
    <x:col min="2" max="2" width="13.380000114440918" hidden="0" customWidth="1"/>
    <x:col min="3" max="3" width="10.880000114440918" hidden="0" customWidth="1"/>
    <x:col min="4" max="4" width="11.75" hidden="0" customWidth="1"/>
    <x:col min="5" max="5" width="11.5" hidden="0" customWidth="1"/>
    <x:col min="6" max="6" width="7.880000114440918" hidden="0" customWidth="1"/>
    <x:col min="7" max="7" width="26" hidden="0" customWidth="1"/>
  </x:cols>
  <x:sheetData>
    <x:row r="1" ht="30" customHeight="1">
      <x:c r="A1" s="3" t="str">
        <x:v>问题定位时间测量</x:v>
      </x:c>
      <x:c r="B1" s="3"/>
      <x:c r="C1" s="3"/>
      <x:c r="D1" s="3"/>
      <x:c r="E1" s="3"/>
      <x:c r="F1" s="3"/>
      <x:c r="G1" s="3"/>
    </x:row>
    <x:row r="2" ht="34" customHeight="1">
      <x:c r="A2" s="65" t="str">
        <x:v>从看到失败开始计时，到确定故障层和故障字段为止；建议至少记录5个故障。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 ht="28" customHeight="1">
      <x:c r="A4" s="13" t="str">
        <x:v>故障编号</x:v>
      </x:c>
      <x:c r="B4" s="14" t="str">
        <x:v>故障类型</x:v>
      </x:c>
      <x:c r="C4" s="14" t="str">
        <x:v>普通方式(秒)</x:v>
      </x:c>
      <x:c r="D4" s="14" t="str">
        <x:v>Allure方式(秒)</x:v>
      </x:c>
      <x:c r="E4" s="14" t="str">
        <x:v>是否定位正确</x:v>
      </x:c>
      <x:c r="F4" s="14" t="str">
        <x:v>测量日期</x:v>
      </x:c>
      <x:c r="G4" s="15" t="str">
        <x:v>备注</x:v>
      </x:c>
    </x:row>
    <x:row r="5">
      <x:c r="A5" s="76" t="str">
        <x:v>F01</x:v>
      </x:c>
      <x:c r="B5" s="68" t="str">
        <x:v>接口返回码错误</x:v>
      </x:c>
      <x:c r="C5" s="68"/>
      <x:c r="D5" s="68"/>
      <x:c r="E5" s="68"/>
      <x:c r="F5" s="77"/>
      <x:c r="G5" s="69"/>
    </x:row>
    <x:row r="6">
      <x:c r="A6" s="76" t="str">
        <x:v>F02</x:v>
      </x:c>
      <x:c r="B6" s="68" t="str">
        <x:v>响应字段错误</x:v>
      </x:c>
      <x:c r="C6" s="68"/>
      <x:c r="D6" s="68"/>
      <x:c r="E6" s="68"/>
      <x:c r="F6" s="77"/>
      <x:c r="G6" s="69"/>
    </x:row>
    <x:row r="7">
      <x:c r="A7" s="76" t="str">
        <x:v>F03</x:v>
      </x:c>
      <x:c r="B7" s="68" t="str">
        <x:v>MySQL状态错误</x:v>
      </x:c>
      <x:c r="C7" s="68"/>
      <x:c r="D7" s="68"/>
      <x:c r="E7" s="68"/>
      <x:c r="F7" s="77"/>
      <x:c r="G7" s="69"/>
    </x:row>
    <x:row r="8">
      <x:c r="A8" s="76" t="str">
        <x:v>F04</x:v>
      </x:c>
      <x:c r="B8" s="68" t="str">
        <x:v>Redis缓存错误</x:v>
      </x:c>
      <x:c r="C8" s="68"/>
      <x:c r="D8" s="68"/>
      <x:c r="E8" s="68"/>
      <x:c r="F8" s="77"/>
      <x:c r="G8" s="69"/>
    </x:row>
    <x:row r="9">
      <x:c r="A9" s="78" t="str">
        <x:v>F05</x:v>
      </x:c>
      <x:c r="B9" s="71" t="str">
        <x:v>审计事件缺失</x:v>
      </x:c>
      <x:c r="C9" s="71"/>
      <x:c r="D9" s="71"/>
      <x:c r="E9" s="71"/>
      <x:c r="F9" s="79"/>
      <x:c r="G9" s="72"/>
    </x:row>
    <x:row r="10">
      <x:c r="A10" s="66"/>
      <x:c r="B10" s="66"/>
      <x:c r="C10" s="66"/>
      <x:c r="D10" s="66"/>
      <x:c r="E10" s="66"/>
      <x:c r="F10" s="66"/>
      <x:c r="G10" s="66"/>
    </x:row>
    <x:row r="11">
      <x:c r="A11" s="73" t="str">
        <x:v>问题定位时间缩短率</x:v>
      </x:c>
      <x:c r="B11" s="75" t="n">
        <x:f>IFERROR((B12-B13)/B12,0)</x:f>
        <x:v>0</x:v>
      </x:c>
      <x:c r="C11" s="66"/>
      <x:c r="D11" s="66"/>
      <x:c r="E11" s="66"/>
      <x:c r="F11" s="66"/>
      <x:c r="G11" s="66"/>
    </x:row>
    <x:row r="12">
      <x:c r="A12" s="73" t="str">
        <x:v>普通平均定位时间(秒)</x:v>
      </x:c>
      <x:c r="B12" s="74" t="n">
        <x:f>IFERROR(AVERAGE(C5:C9),0)</x:f>
        <x:v>0</x:v>
      </x:c>
      <x:c r="C12" s="66"/>
      <x:c r="D12" s="66"/>
      <x:c r="E12" s="66"/>
      <x:c r="F12" s="66"/>
      <x:c r="G12" s="66"/>
    </x:row>
    <x:row r="13">
      <x:c r="A13" s="73" t="str">
        <x:v>Allure平均定位时间(秒)</x:v>
      </x:c>
      <x:c r="B13" s="74" t="n">
        <x:f>IFERROR(AVERAGE(D5:D9),0)</x:f>
        <x:v>0</x:v>
      </x:c>
      <x:c r="C13" s="66"/>
      <x:c r="D13" s="66"/>
      <x:c r="E13" s="66"/>
      <x:c r="F13" s="66"/>
      <x:c r="G13" s="66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.75" hidden="0" customWidth="1"/>
    <x:col min="2" max="2" width="7.880000114440918" hidden="0" customWidth="1"/>
    <x:col min="3" max="3" width="11.5" hidden="0" customWidth="1"/>
    <x:col min="4" max="4" width="11.5" hidden="0" customWidth="1"/>
    <x:col min="5" max="5" width="9.75" hidden="0" customWidth="1"/>
    <x:col min="6" max="6" width="30" hidden="0" customWidth="1"/>
  </x:cols>
  <x:sheetData>
    <x:row r="1" ht="30" customHeight="1">
      <x:c r="A1" s="3" t="str">
        <x:v>自动化场景覆盖率</x:v>
      </x:c>
      <x:c r="B1" s="3"/>
      <x:c r="C1" s="3"/>
      <x:c r="D1" s="3"/>
      <x:c r="E1" s="3"/>
      <x:c r="F1" s="3"/>
    </x:row>
    <x:row r="2" ht="34" customHeight="1">
      <x:c r="A2" s="65" t="str">
        <x:v>先列出需求/测试场景清单，再填写其中可自动化和已自动化的数量；这不是代码覆盖率。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 ht="28" customHeight="1">
      <x:c r="A4" s="13" t="str">
        <x:v>模块</x:v>
      </x:c>
      <x:c r="B4" s="14" t="str">
        <x:v>场景总数</x:v>
      </x:c>
      <x:c r="C4" s="14" t="str">
        <x:v>可自动化场景</x:v>
      </x:c>
      <x:c r="D4" s="14" t="str">
        <x:v>已自动化场景</x:v>
      </x:c>
      <x:c r="E4" s="14" t="str">
        <x:v>模块覆盖率</x:v>
      </x:c>
      <x:c r="F4" s="15" t="str">
        <x:v>统计依据</x:v>
      </x:c>
    </x:row>
    <x:row r="5">
      <x:c r="A5" s="76" t="str">
        <x:v>用户管理</x:v>
      </x:c>
      <x:c r="B5" s="68"/>
      <x:c r="C5" s="68"/>
      <x:c r="D5" s="68"/>
      <x:c r="E5" s="80" t="n">
        <x:f>IFERROR(D5/C5,0)</x:f>
        <x:v>0</x:v>
      </x:c>
      <x:c r="F5" s="81" t="str">
        <x:v>需求/用例清单</x:v>
      </x:c>
    </x:row>
    <x:row r="6">
      <x:c r="A6" s="76" t="str">
        <x:v>商品管理</x:v>
      </x:c>
      <x:c r="B6" s="68"/>
      <x:c r="C6" s="68"/>
      <x:c r="D6" s="68"/>
      <x:c r="E6" s="80" t="n">
        <x:f>IFERROR(D6/C6,0)</x:f>
        <x:v>0</x:v>
      </x:c>
      <x:c r="F6" s="81" t="str">
        <x:v>需求/用例清单</x:v>
      </x:c>
    </x:row>
    <x:row r="7">
      <x:c r="A7" s="76" t="str">
        <x:v>订单支付</x:v>
      </x:c>
      <x:c r="B7" s="68"/>
      <x:c r="C7" s="68"/>
      <x:c r="D7" s="68"/>
      <x:c r="E7" s="80" t="n">
        <x:f>IFERROR(D7/C7,0)</x:f>
        <x:v>0</x:v>
      </x:c>
      <x:c r="F7" s="81" t="str">
        <x:v>需求/用例清单</x:v>
      </x:c>
    </x:row>
    <x:row r="8">
      <x:c r="A8" s="76" t="str">
        <x:v>业务场景</x:v>
      </x:c>
      <x:c r="B8" s="68"/>
      <x:c r="C8" s="68"/>
      <x:c r="D8" s="68"/>
      <x:c r="E8" s="80" t="n">
        <x:f>IFERROR(D8/C8,0)</x:f>
        <x:v>0</x:v>
      </x:c>
      <x:c r="F8" s="81" t="str">
        <x:v>需求/用例清单</x:v>
      </x:c>
    </x:row>
    <x:row r="9">
      <x:c r="A9" s="78" t="str">
        <x:v>数据一致性</x:v>
      </x:c>
      <x:c r="B9" s="71" t="n">
        <x:v>4</x:v>
      </x:c>
      <x:c r="C9" s="71" t="n">
        <x:v>4</x:v>
      </x:c>
      <x:c r="D9" s="71" t="n">
        <x:v>4</x:v>
      </x:c>
      <x:c r="E9" s="82" t="n">
        <x:f>IFERROR(D9/C9,0)</x:f>
        <x:v>1</x:v>
      </x:c>
      <x:c r="F9" s="83" t="str">
        <x:v>MySQL/Redis/MongoDB/ClickHouse</x:v>
      </x:c>
    </x:row>
    <x:row r="10">
      <x:c r="A10" s="66"/>
      <x:c r="B10" s="66"/>
      <x:c r="C10" s="66"/>
      <x:c r="D10" s="66"/>
      <x:c r="E10" s="66"/>
      <x:c r="F10" s="66"/>
    </x:row>
    <x:row r="11">
      <x:c r="A11" s="73" t="str">
        <x:v>指标</x:v>
      </x:c>
      <x:c r="B11" s="74" t="str">
        <x:v>结果</x:v>
      </x:c>
      <x:c r="C11" s="66"/>
      <x:c r="D11" s="66"/>
      <x:c r="E11" s="66"/>
      <x:c r="F11" s="66"/>
    </x:row>
    <x:row r="12">
      <x:c r="A12" s="73" t="str">
        <x:v>自动化场景覆盖率</x:v>
      </x:c>
      <x:c r="B12" s="75" t="n">
        <x:f>IF(COUNT(C5:C9)&lt;5,0,IFERROR(SUM(D5:D9)/SUM(C5:C9),0))</x:f>
        <x:v>0</x:v>
      </x:c>
      <x:c r="C12" s="66"/>
      <x:c r="D12" s="66"/>
      <x:c r="E12" s="66"/>
      <x:c r="F12" s="66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12999725341797" hidden="0" customWidth="1"/>
    <x:col min="2" max="2" width="4.25" hidden="0" customWidth="1"/>
    <x:col min="3" max="3" width="9.75" hidden="0" customWidth="1"/>
    <x:col min="4" max="4" width="6" hidden="0" customWidth="1"/>
    <x:col min="5" max="5" width="7.880000114440918" hidden="0" customWidth="1"/>
    <x:col min="6" max="6" width="9.75" hidden="0" customWidth="1"/>
    <x:col min="7" max="7" width="9.75" hidden="0" customWidth="1"/>
    <x:col min="8" max="8" width="32" hidden="0" customWidth="1"/>
  </x:cols>
  <x:sheetData>
    <x:row r="1" ht="30" customHeight="1">
      <x:c r="A1" s="3" t="str">
        <x:v>自动化执行稳定性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5" t="str">
        <x:v>建议连续执行50轮；产品缺陷不计入框架不稳定，脚本/环境/网络原因失败计入。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 ht="28" customHeight="1">
      <x:c r="A4" s="13" t="str">
        <x:v>日期</x:v>
      </x:c>
      <x:c r="B4" s="14" t="str">
        <x:v>轮次</x:v>
      </x:c>
      <x:c r="C4" s="14" t="str">
        <x:v>用例执行数</x:v>
      </x:c>
      <x:c r="D4" s="14" t="str">
        <x:v>通过数</x:v>
      </x:c>
      <x:c r="E4" s="14" t="str">
        <x:v>产品失败</x:v>
      </x:c>
      <x:c r="F4" s="14" t="str">
        <x:v>非产品失败</x:v>
      </x:c>
      <x:c r="G4" s="14" t="str">
        <x:v>单轮稳定性</x:v>
      </x:c>
      <x:c r="H4" s="15" t="str">
        <x:v>失败说明</x:v>
      </x:c>
    </x:row>
    <x:row r="5">
      <x:c r="A5" s="67"/>
      <x:c r="B5" s="68" t="n">
        <x:v>1</x:v>
      </x:c>
      <x:c r="C5" s="68" t="n">
        <x:v>20</x:v>
      </x:c>
      <x:c r="D5" s="68"/>
      <x:c r="E5" s="68"/>
      <x:c r="F5" s="68"/>
      <x:c r="G5" s="80" t="str">
        <x:f>IF(A5="","",IFERROR((C5-F5)/C5,0))</x:f>
      </x:c>
      <x:c r="H5" s="81"/>
    </x:row>
    <x:row r="6">
      <x:c r="A6" s="67"/>
      <x:c r="B6" s="68" t="n">
        <x:v>2</x:v>
      </x:c>
      <x:c r="C6" s="68" t="n">
        <x:v>20</x:v>
      </x:c>
      <x:c r="D6" s="68"/>
      <x:c r="E6" s="68"/>
      <x:c r="F6" s="68"/>
      <x:c r="G6" s="80" t="str">
        <x:f>IF(A6="","",IFERROR((C6-F6)/C6,0))</x:f>
      </x:c>
      <x:c r="H6" s="81"/>
    </x:row>
    <x:row r="7">
      <x:c r="A7" s="67"/>
      <x:c r="B7" s="68" t="n">
        <x:v>3</x:v>
      </x:c>
      <x:c r="C7" s="68" t="n">
        <x:v>20</x:v>
      </x:c>
      <x:c r="D7" s="68"/>
      <x:c r="E7" s="68"/>
      <x:c r="F7" s="68"/>
      <x:c r="G7" s="80" t="str">
        <x:f>IF(A7="","",IFERROR((C7-F7)/C7,0))</x:f>
      </x:c>
      <x:c r="H7" s="81"/>
    </x:row>
    <x:row r="8">
      <x:c r="A8" s="67"/>
      <x:c r="B8" s="68" t="n">
        <x:v>4</x:v>
      </x:c>
      <x:c r="C8" s="68" t="n">
        <x:v>20</x:v>
      </x:c>
      <x:c r="D8" s="68"/>
      <x:c r="E8" s="68"/>
      <x:c r="F8" s="68"/>
      <x:c r="G8" s="80" t="str">
        <x:f>IF(A8="","",IFERROR((C8-F8)/C8,0))</x:f>
      </x:c>
      <x:c r="H8" s="81"/>
    </x:row>
    <x:row r="9">
      <x:c r="A9" s="67"/>
      <x:c r="B9" s="68" t="n">
        <x:v>5</x:v>
      </x:c>
      <x:c r="C9" s="68" t="n">
        <x:v>20</x:v>
      </x:c>
      <x:c r="D9" s="68"/>
      <x:c r="E9" s="68"/>
      <x:c r="F9" s="68"/>
      <x:c r="G9" s="80" t="str">
        <x:f>IF(A9="","",IFERROR((C9-F9)/C9,0))</x:f>
      </x:c>
      <x:c r="H9" s="81"/>
    </x:row>
    <x:row r="10">
      <x:c r="A10" s="67"/>
      <x:c r="B10" s="68" t="n">
        <x:v>6</x:v>
      </x:c>
      <x:c r="C10" s="68" t="n">
        <x:v>20</x:v>
      </x:c>
      <x:c r="D10" s="68"/>
      <x:c r="E10" s="68"/>
      <x:c r="F10" s="68"/>
      <x:c r="G10" s="80" t="str">
        <x:f>IF(A10="","",IFERROR((C10-F10)/C10,0))</x:f>
      </x:c>
      <x:c r="H10" s="81"/>
    </x:row>
    <x:row r="11">
      <x:c r="A11" s="67"/>
      <x:c r="B11" s="68" t="n">
        <x:v>7</x:v>
      </x:c>
      <x:c r="C11" s="68" t="n">
        <x:v>20</x:v>
      </x:c>
      <x:c r="D11" s="68"/>
      <x:c r="E11" s="68"/>
      <x:c r="F11" s="68"/>
      <x:c r="G11" s="80" t="str">
        <x:f>IF(A11="","",IFERROR((C11-F11)/C11,0))</x:f>
      </x:c>
      <x:c r="H11" s="81"/>
    </x:row>
    <x:row r="12">
      <x:c r="A12" s="67"/>
      <x:c r="B12" s="68" t="n">
        <x:v>8</x:v>
      </x:c>
      <x:c r="C12" s="68" t="n">
        <x:v>20</x:v>
      </x:c>
      <x:c r="D12" s="68"/>
      <x:c r="E12" s="68"/>
      <x:c r="F12" s="68"/>
      <x:c r="G12" s="80" t="str">
        <x:f>IF(A12="","",IFERROR((C12-F12)/C12,0))</x:f>
      </x:c>
      <x:c r="H12" s="81"/>
    </x:row>
    <x:row r="13">
      <x:c r="A13" s="67"/>
      <x:c r="B13" s="68" t="n">
        <x:v>9</x:v>
      </x:c>
      <x:c r="C13" s="68" t="n">
        <x:v>20</x:v>
      </x:c>
      <x:c r="D13" s="68"/>
      <x:c r="E13" s="68"/>
      <x:c r="F13" s="68"/>
      <x:c r="G13" s="80" t="str">
        <x:f>IF(A13="","",IFERROR((C13-F13)/C13,0))</x:f>
      </x:c>
      <x:c r="H13" s="81"/>
    </x:row>
    <x:row r="14">
      <x:c r="A14" s="67"/>
      <x:c r="B14" s="68" t="n">
        <x:v>10</x:v>
      </x:c>
      <x:c r="C14" s="68" t="n">
        <x:v>20</x:v>
      </x:c>
      <x:c r="D14" s="68"/>
      <x:c r="E14" s="68"/>
      <x:c r="F14" s="68"/>
      <x:c r="G14" s="80" t="str">
        <x:f>IF(A14="","",IFERROR((C14-F14)/C14,0))</x:f>
      </x:c>
      <x:c r="H14" s="81"/>
    </x:row>
    <x:row r="15">
      <x:c r="A15" s="67"/>
      <x:c r="B15" s="68" t="n">
        <x:v>11</x:v>
      </x:c>
      <x:c r="C15" s="68" t="n">
        <x:v>20</x:v>
      </x:c>
      <x:c r="D15" s="68"/>
      <x:c r="E15" s="68"/>
      <x:c r="F15" s="68"/>
      <x:c r="G15" s="80" t="str">
        <x:f>IF(A15="","",IFERROR((C15-F15)/C15,0))</x:f>
      </x:c>
      <x:c r="H15" s="81"/>
    </x:row>
    <x:row r="16">
      <x:c r="A16" s="67"/>
      <x:c r="B16" s="68" t="n">
        <x:v>12</x:v>
      </x:c>
      <x:c r="C16" s="68" t="n">
        <x:v>20</x:v>
      </x:c>
      <x:c r="D16" s="68"/>
      <x:c r="E16" s="68"/>
      <x:c r="F16" s="68"/>
      <x:c r="G16" s="80" t="str">
        <x:f>IF(A16="","",IFERROR((C16-F16)/C16,0))</x:f>
      </x:c>
      <x:c r="H16" s="81"/>
    </x:row>
    <x:row r="17">
      <x:c r="A17" s="67"/>
      <x:c r="B17" s="68" t="n">
        <x:v>13</x:v>
      </x:c>
      <x:c r="C17" s="68" t="n">
        <x:v>20</x:v>
      </x:c>
      <x:c r="D17" s="68"/>
      <x:c r="E17" s="68"/>
      <x:c r="F17" s="68"/>
      <x:c r="G17" s="80" t="str">
        <x:f>IF(A17="","",IFERROR((C17-F17)/C17,0))</x:f>
      </x:c>
      <x:c r="H17" s="81"/>
    </x:row>
    <x:row r="18">
      <x:c r="A18" s="67"/>
      <x:c r="B18" s="68" t="n">
        <x:v>14</x:v>
      </x:c>
      <x:c r="C18" s="68" t="n">
        <x:v>20</x:v>
      </x:c>
      <x:c r="D18" s="68"/>
      <x:c r="E18" s="68"/>
      <x:c r="F18" s="68"/>
      <x:c r="G18" s="80" t="str">
        <x:f>IF(A18="","",IFERROR((C18-F18)/C18,0))</x:f>
      </x:c>
      <x:c r="H18" s="81"/>
    </x:row>
    <x:row r="19">
      <x:c r="A19" s="67"/>
      <x:c r="B19" s="68" t="n">
        <x:v>15</x:v>
      </x:c>
      <x:c r="C19" s="68" t="n">
        <x:v>20</x:v>
      </x:c>
      <x:c r="D19" s="68"/>
      <x:c r="E19" s="68"/>
      <x:c r="F19" s="68"/>
      <x:c r="G19" s="80" t="str">
        <x:f>IF(A19="","",IFERROR((C19-F19)/C19,0))</x:f>
      </x:c>
      <x:c r="H19" s="81"/>
    </x:row>
    <x:row r="20">
      <x:c r="A20" s="67"/>
      <x:c r="B20" s="68" t="n">
        <x:v>16</x:v>
      </x:c>
      <x:c r="C20" s="68" t="n">
        <x:v>20</x:v>
      </x:c>
      <x:c r="D20" s="68"/>
      <x:c r="E20" s="68"/>
      <x:c r="F20" s="68"/>
      <x:c r="G20" s="80" t="str">
        <x:f>IF(A20="","",IFERROR((C20-F20)/C20,0))</x:f>
      </x:c>
      <x:c r="H20" s="81"/>
    </x:row>
    <x:row r="21">
      <x:c r="A21" s="67"/>
      <x:c r="B21" s="68" t="n">
        <x:v>17</x:v>
      </x:c>
      <x:c r="C21" s="68" t="n">
        <x:v>20</x:v>
      </x:c>
      <x:c r="D21" s="68"/>
      <x:c r="E21" s="68"/>
      <x:c r="F21" s="68"/>
      <x:c r="G21" s="80" t="str">
        <x:f>IF(A21="","",IFERROR((C21-F21)/C21,0))</x:f>
      </x:c>
      <x:c r="H21" s="81"/>
    </x:row>
    <x:row r="22">
      <x:c r="A22" s="67"/>
      <x:c r="B22" s="68" t="n">
        <x:v>18</x:v>
      </x:c>
      <x:c r="C22" s="68" t="n">
        <x:v>20</x:v>
      </x:c>
      <x:c r="D22" s="68"/>
      <x:c r="E22" s="68"/>
      <x:c r="F22" s="68"/>
      <x:c r="G22" s="80" t="str">
        <x:f>IF(A22="","",IFERROR((C22-F22)/C22,0))</x:f>
      </x:c>
      <x:c r="H22" s="81"/>
    </x:row>
    <x:row r="23">
      <x:c r="A23" s="67"/>
      <x:c r="B23" s="68" t="n">
        <x:v>19</x:v>
      </x:c>
      <x:c r="C23" s="68" t="n">
        <x:v>20</x:v>
      </x:c>
      <x:c r="D23" s="68"/>
      <x:c r="E23" s="68"/>
      <x:c r="F23" s="68"/>
      <x:c r="G23" s="80" t="str">
        <x:f>IF(A23="","",IFERROR((C23-F23)/C23,0))</x:f>
      </x:c>
      <x:c r="H23" s="81"/>
    </x:row>
    <x:row r="24">
      <x:c r="A24" s="67"/>
      <x:c r="B24" s="68" t="n">
        <x:v>20</x:v>
      </x:c>
      <x:c r="C24" s="68" t="n">
        <x:v>20</x:v>
      </x:c>
      <x:c r="D24" s="68"/>
      <x:c r="E24" s="68"/>
      <x:c r="F24" s="68"/>
      <x:c r="G24" s="80" t="str">
        <x:f>IF(A24="","",IFERROR((C24-F24)/C24,0))</x:f>
      </x:c>
      <x:c r="H24" s="81"/>
    </x:row>
    <x:row r="25">
      <x:c r="A25" s="67"/>
      <x:c r="B25" s="68" t="n">
        <x:v>21</x:v>
      </x:c>
      <x:c r="C25" s="68" t="n">
        <x:v>20</x:v>
      </x:c>
      <x:c r="D25" s="68"/>
      <x:c r="E25" s="68"/>
      <x:c r="F25" s="68"/>
      <x:c r="G25" s="80" t="str">
        <x:f>IF(A25="","",IFERROR((C25-F25)/C25,0))</x:f>
      </x:c>
      <x:c r="H25" s="81"/>
    </x:row>
    <x:row r="26">
      <x:c r="A26" s="67"/>
      <x:c r="B26" s="68" t="n">
        <x:v>22</x:v>
      </x:c>
      <x:c r="C26" s="68" t="n">
        <x:v>20</x:v>
      </x:c>
      <x:c r="D26" s="68"/>
      <x:c r="E26" s="68"/>
      <x:c r="F26" s="68"/>
      <x:c r="G26" s="80" t="str">
        <x:f>IF(A26="","",IFERROR((C26-F26)/C26,0))</x:f>
      </x:c>
      <x:c r="H26" s="81"/>
    </x:row>
    <x:row r="27">
      <x:c r="A27" s="67"/>
      <x:c r="B27" s="68" t="n">
        <x:v>23</x:v>
      </x:c>
      <x:c r="C27" s="68" t="n">
        <x:v>20</x:v>
      </x:c>
      <x:c r="D27" s="68"/>
      <x:c r="E27" s="68"/>
      <x:c r="F27" s="68"/>
      <x:c r="G27" s="80" t="str">
        <x:f>IF(A27="","",IFERROR((C27-F27)/C27,0))</x:f>
      </x:c>
      <x:c r="H27" s="81"/>
    </x:row>
    <x:row r="28">
      <x:c r="A28" s="67"/>
      <x:c r="B28" s="68" t="n">
        <x:v>24</x:v>
      </x:c>
      <x:c r="C28" s="68" t="n">
        <x:v>20</x:v>
      </x:c>
      <x:c r="D28" s="68"/>
      <x:c r="E28" s="68"/>
      <x:c r="F28" s="68"/>
      <x:c r="G28" s="80" t="str">
        <x:f>IF(A28="","",IFERROR((C28-F28)/C28,0))</x:f>
      </x:c>
      <x:c r="H28" s="81"/>
    </x:row>
    <x:row r="29">
      <x:c r="A29" s="67"/>
      <x:c r="B29" s="68" t="n">
        <x:v>25</x:v>
      </x:c>
      <x:c r="C29" s="68" t="n">
        <x:v>20</x:v>
      </x:c>
      <x:c r="D29" s="68"/>
      <x:c r="E29" s="68"/>
      <x:c r="F29" s="68"/>
      <x:c r="G29" s="80" t="str">
        <x:f>IF(A29="","",IFERROR((C29-F29)/C29,0))</x:f>
      </x:c>
      <x:c r="H29" s="81"/>
    </x:row>
    <x:row r="30">
      <x:c r="A30" s="67"/>
      <x:c r="B30" s="68" t="n">
        <x:v>26</x:v>
      </x:c>
      <x:c r="C30" s="68" t="n">
        <x:v>20</x:v>
      </x:c>
      <x:c r="D30" s="68"/>
      <x:c r="E30" s="68"/>
      <x:c r="F30" s="68"/>
      <x:c r="G30" s="80" t="str">
        <x:f>IF(A30="","",IFERROR((C30-F30)/C30,0))</x:f>
      </x:c>
      <x:c r="H30" s="81"/>
    </x:row>
    <x:row r="31">
      <x:c r="A31" s="67"/>
      <x:c r="B31" s="68" t="n">
        <x:v>27</x:v>
      </x:c>
      <x:c r="C31" s="68" t="n">
        <x:v>20</x:v>
      </x:c>
      <x:c r="D31" s="68"/>
      <x:c r="E31" s="68"/>
      <x:c r="F31" s="68"/>
      <x:c r="G31" s="80" t="str">
        <x:f>IF(A31="","",IFERROR((C31-F31)/C31,0))</x:f>
      </x:c>
      <x:c r="H31" s="81"/>
    </x:row>
    <x:row r="32">
      <x:c r="A32" s="67"/>
      <x:c r="B32" s="68" t="n">
        <x:v>28</x:v>
      </x:c>
      <x:c r="C32" s="68" t="n">
        <x:v>20</x:v>
      </x:c>
      <x:c r="D32" s="68"/>
      <x:c r="E32" s="68"/>
      <x:c r="F32" s="68"/>
      <x:c r="G32" s="80" t="str">
        <x:f>IF(A32="","",IFERROR((C32-F32)/C32,0))</x:f>
      </x:c>
      <x:c r="H32" s="81"/>
    </x:row>
    <x:row r="33">
      <x:c r="A33" s="67"/>
      <x:c r="B33" s="68" t="n">
        <x:v>29</x:v>
      </x:c>
      <x:c r="C33" s="68" t="n">
        <x:v>20</x:v>
      </x:c>
      <x:c r="D33" s="68"/>
      <x:c r="E33" s="68"/>
      <x:c r="F33" s="68"/>
      <x:c r="G33" s="80" t="str">
        <x:f>IF(A33="","",IFERROR((C33-F33)/C33,0))</x:f>
      </x:c>
      <x:c r="H33" s="81"/>
    </x:row>
    <x:row r="34">
      <x:c r="A34" s="67"/>
      <x:c r="B34" s="68" t="n">
        <x:v>30</x:v>
      </x:c>
      <x:c r="C34" s="68" t="n">
        <x:v>20</x:v>
      </x:c>
      <x:c r="D34" s="68"/>
      <x:c r="E34" s="68"/>
      <x:c r="F34" s="68"/>
      <x:c r="G34" s="80" t="str">
        <x:f>IF(A34="","",IFERROR((C34-F34)/C34,0))</x:f>
      </x:c>
      <x:c r="H34" s="81"/>
    </x:row>
    <x:row r="35">
      <x:c r="A35" s="67"/>
      <x:c r="B35" s="68" t="n">
        <x:v>31</x:v>
      </x:c>
      <x:c r="C35" s="68" t="n">
        <x:v>20</x:v>
      </x:c>
      <x:c r="D35" s="68"/>
      <x:c r="E35" s="68"/>
      <x:c r="F35" s="68"/>
      <x:c r="G35" s="80" t="str">
        <x:f>IF(A35="","",IFERROR((C35-F35)/C35,0))</x:f>
      </x:c>
      <x:c r="H35" s="81"/>
    </x:row>
    <x:row r="36">
      <x:c r="A36" s="67"/>
      <x:c r="B36" s="68" t="n">
        <x:v>32</x:v>
      </x:c>
      <x:c r="C36" s="68" t="n">
        <x:v>20</x:v>
      </x:c>
      <x:c r="D36" s="68"/>
      <x:c r="E36" s="68"/>
      <x:c r="F36" s="68"/>
      <x:c r="G36" s="80" t="str">
        <x:f>IF(A36="","",IFERROR((C36-F36)/C36,0))</x:f>
      </x:c>
      <x:c r="H36" s="81"/>
    </x:row>
    <x:row r="37">
      <x:c r="A37" s="67"/>
      <x:c r="B37" s="68" t="n">
        <x:v>33</x:v>
      </x:c>
      <x:c r="C37" s="68" t="n">
        <x:v>20</x:v>
      </x:c>
      <x:c r="D37" s="68"/>
      <x:c r="E37" s="68"/>
      <x:c r="F37" s="68"/>
      <x:c r="G37" s="80" t="str">
        <x:f>IF(A37="","",IFERROR((C37-F37)/C37,0))</x:f>
      </x:c>
      <x:c r="H37" s="81"/>
    </x:row>
    <x:row r="38">
      <x:c r="A38" s="67"/>
      <x:c r="B38" s="68" t="n">
        <x:v>34</x:v>
      </x:c>
      <x:c r="C38" s="68" t="n">
        <x:v>20</x:v>
      </x:c>
      <x:c r="D38" s="68"/>
      <x:c r="E38" s="68"/>
      <x:c r="F38" s="68"/>
      <x:c r="G38" s="80" t="str">
        <x:f>IF(A38="","",IFERROR((C38-F38)/C38,0))</x:f>
      </x:c>
      <x:c r="H38" s="81"/>
    </x:row>
    <x:row r="39">
      <x:c r="A39" s="67"/>
      <x:c r="B39" s="68" t="n">
        <x:v>35</x:v>
      </x:c>
      <x:c r="C39" s="68" t="n">
        <x:v>20</x:v>
      </x:c>
      <x:c r="D39" s="68"/>
      <x:c r="E39" s="68"/>
      <x:c r="F39" s="68"/>
      <x:c r="G39" s="80" t="str">
        <x:f>IF(A39="","",IFERROR((C39-F39)/C39,0))</x:f>
      </x:c>
      <x:c r="H39" s="81"/>
    </x:row>
    <x:row r="40">
      <x:c r="A40" s="67"/>
      <x:c r="B40" s="68" t="n">
        <x:v>36</x:v>
      </x:c>
      <x:c r="C40" s="68" t="n">
        <x:v>20</x:v>
      </x:c>
      <x:c r="D40" s="68"/>
      <x:c r="E40" s="68"/>
      <x:c r="F40" s="68"/>
      <x:c r="G40" s="80" t="str">
        <x:f>IF(A40="","",IFERROR((C40-F40)/C40,0))</x:f>
      </x:c>
      <x:c r="H40" s="81"/>
    </x:row>
    <x:row r="41">
      <x:c r="A41" s="67"/>
      <x:c r="B41" s="68" t="n">
        <x:v>37</x:v>
      </x:c>
      <x:c r="C41" s="68" t="n">
        <x:v>20</x:v>
      </x:c>
      <x:c r="D41" s="68"/>
      <x:c r="E41" s="68"/>
      <x:c r="F41" s="68"/>
      <x:c r="G41" s="80" t="str">
        <x:f>IF(A41="","",IFERROR((C41-F41)/C41,0))</x:f>
      </x:c>
      <x:c r="H41" s="81"/>
    </x:row>
    <x:row r="42">
      <x:c r="A42" s="67"/>
      <x:c r="B42" s="68" t="n">
        <x:v>38</x:v>
      </x:c>
      <x:c r="C42" s="68" t="n">
        <x:v>20</x:v>
      </x:c>
      <x:c r="D42" s="68"/>
      <x:c r="E42" s="68"/>
      <x:c r="F42" s="68"/>
      <x:c r="G42" s="80" t="str">
        <x:f>IF(A42="","",IFERROR((C42-F42)/C42,0))</x:f>
      </x:c>
      <x:c r="H42" s="81"/>
    </x:row>
    <x:row r="43">
      <x:c r="A43" s="67"/>
      <x:c r="B43" s="68" t="n">
        <x:v>39</x:v>
      </x:c>
      <x:c r="C43" s="68" t="n">
        <x:v>20</x:v>
      </x:c>
      <x:c r="D43" s="68"/>
      <x:c r="E43" s="68"/>
      <x:c r="F43" s="68"/>
      <x:c r="G43" s="80" t="str">
        <x:f>IF(A43="","",IFERROR((C43-F43)/C43,0))</x:f>
      </x:c>
      <x:c r="H43" s="81"/>
    </x:row>
    <x:row r="44">
      <x:c r="A44" s="67"/>
      <x:c r="B44" s="68" t="n">
        <x:v>40</x:v>
      </x:c>
      <x:c r="C44" s="68" t="n">
        <x:v>20</x:v>
      </x:c>
      <x:c r="D44" s="68"/>
      <x:c r="E44" s="68"/>
      <x:c r="F44" s="68"/>
      <x:c r="G44" s="80" t="str">
        <x:f>IF(A44="","",IFERROR((C44-F44)/C44,0))</x:f>
      </x:c>
      <x:c r="H44" s="81"/>
    </x:row>
    <x:row r="45">
      <x:c r="A45" s="67"/>
      <x:c r="B45" s="68" t="n">
        <x:v>41</x:v>
      </x:c>
      <x:c r="C45" s="68" t="n">
        <x:v>20</x:v>
      </x:c>
      <x:c r="D45" s="68"/>
      <x:c r="E45" s="68"/>
      <x:c r="F45" s="68"/>
      <x:c r="G45" s="80" t="str">
        <x:f>IF(A45="","",IFERROR((C45-F45)/C45,0))</x:f>
      </x:c>
      <x:c r="H45" s="81"/>
    </x:row>
    <x:row r="46">
      <x:c r="A46" s="67"/>
      <x:c r="B46" s="68" t="n">
        <x:v>42</x:v>
      </x:c>
      <x:c r="C46" s="68" t="n">
        <x:v>20</x:v>
      </x:c>
      <x:c r="D46" s="68"/>
      <x:c r="E46" s="68"/>
      <x:c r="F46" s="68"/>
      <x:c r="G46" s="80" t="str">
        <x:f>IF(A46="","",IFERROR((C46-F46)/C46,0))</x:f>
      </x:c>
      <x:c r="H46" s="81"/>
    </x:row>
    <x:row r="47">
      <x:c r="A47" s="67"/>
      <x:c r="B47" s="68" t="n">
        <x:v>43</x:v>
      </x:c>
      <x:c r="C47" s="68" t="n">
        <x:v>20</x:v>
      </x:c>
      <x:c r="D47" s="68"/>
      <x:c r="E47" s="68"/>
      <x:c r="F47" s="68"/>
      <x:c r="G47" s="80" t="str">
        <x:f>IF(A47="","",IFERROR((C47-F47)/C47,0))</x:f>
      </x:c>
      <x:c r="H47" s="81"/>
    </x:row>
    <x:row r="48">
      <x:c r="A48" s="67"/>
      <x:c r="B48" s="68" t="n">
        <x:v>44</x:v>
      </x:c>
      <x:c r="C48" s="68" t="n">
        <x:v>20</x:v>
      </x:c>
      <x:c r="D48" s="68"/>
      <x:c r="E48" s="68"/>
      <x:c r="F48" s="68"/>
      <x:c r="G48" s="80" t="str">
        <x:f>IF(A48="","",IFERROR((C48-F48)/C48,0))</x:f>
      </x:c>
      <x:c r="H48" s="81"/>
    </x:row>
    <x:row r="49">
      <x:c r="A49" s="67"/>
      <x:c r="B49" s="68" t="n">
        <x:v>45</x:v>
      </x:c>
      <x:c r="C49" s="68" t="n">
        <x:v>20</x:v>
      </x:c>
      <x:c r="D49" s="68"/>
      <x:c r="E49" s="68"/>
      <x:c r="F49" s="68"/>
      <x:c r="G49" s="80" t="str">
        <x:f>IF(A49="","",IFERROR((C49-F49)/C49,0))</x:f>
      </x:c>
      <x:c r="H49" s="81"/>
    </x:row>
    <x:row r="50">
      <x:c r="A50" s="67"/>
      <x:c r="B50" s="68" t="n">
        <x:v>46</x:v>
      </x:c>
      <x:c r="C50" s="68" t="n">
        <x:v>20</x:v>
      </x:c>
      <x:c r="D50" s="68"/>
      <x:c r="E50" s="68"/>
      <x:c r="F50" s="68"/>
      <x:c r="G50" s="80" t="str">
        <x:f>IF(A50="","",IFERROR((C50-F50)/C50,0))</x:f>
      </x:c>
      <x:c r="H50" s="81"/>
    </x:row>
    <x:row r="51">
      <x:c r="A51" s="67"/>
      <x:c r="B51" s="68" t="n">
        <x:v>47</x:v>
      </x:c>
      <x:c r="C51" s="68" t="n">
        <x:v>20</x:v>
      </x:c>
      <x:c r="D51" s="68"/>
      <x:c r="E51" s="68"/>
      <x:c r="F51" s="68"/>
      <x:c r="G51" s="80" t="str">
        <x:f>IF(A51="","",IFERROR((C51-F51)/C51,0))</x:f>
      </x:c>
      <x:c r="H51" s="81"/>
    </x:row>
    <x:row r="52">
      <x:c r="A52" s="67"/>
      <x:c r="B52" s="68" t="n">
        <x:v>48</x:v>
      </x:c>
      <x:c r="C52" s="68" t="n">
        <x:v>20</x:v>
      </x:c>
      <x:c r="D52" s="68"/>
      <x:c r="E52" s="68"/>
      <x:c r="F52" s="68"/>
      <x:c r="G52" s="80" t="str">
        <x:f>IF(A52="","",IFERROR((C52-F52)/C52,0))</x:f>
      </x:c>
      <x:c r="H52" s="81"/>
    </x:row>
    <x:row r="53">
      <x:c r="A53" s="67"/>
      <x:c r="B53" s="68" t="n">
        <x:v>49</x:v>
      </x:c>
      <x:c r="C53" s="68" t="n">
        <x:v>20</x:v>
      </x:c>
      <x:c r="D53" s="68"/>
      <x:c r="E53" s="68"/>
      <x:c r="F53" s="68"/>
      <x:c r="G53" s="80" t="str">
        <x:f>IF(A53="","",IFERROR((C53-F53)/C53,0))</x:f>
      </x:c>
      <x:c r="H53" s="81"/>
    </x:row>
    <x:row r="54">
      <x:c r="A54" s="70"/>
      <x:c r="B54" s="71" t="n">
        <x:v>50</x:v>
      </x:c>
      <x:c r="C54" s="71" t="n">
        <x:v>20</x:v>
      </x:c>
      <x:c r="D54" s="71"/>
      <x:c r="E54" s="71"/>
      <x:c r="F54" s="71"/>
      <x:c r="G54" s="82" t="str">
        <x:f>IF(A54="","",IFERROR((C54-F54)/C54,0))</x:f>
      </x:c>
      <x:c r="H54" s="83"/>
    </x:row>
    <x:row r="55">
      <x:c r="A55" s="66"/>
      <x:c r="B55" s="66"/>
      <x:c r="C55" s="66"/>
      <x:c r="D55" s="66"/>
      <x:c r="E55" s="66"/>
      <x:c r="F55" s="66"/>
      <x:c r="G55" s="66"/>
      <x:c r="H55" s="66"/>
    </x:row>
    <x:row r="56">
      <x:c r="A56" s="73" t="str">
        <x:v>指标</x:v>
      </x:c>
      <x:c r="B56" s="74" t="str">
        <x:v>结果</x:v>
      </x:c>
      <x:c r="C56" s="66"/>
      <x:c r="D56" s="66"/>
      <x:c r="E56" s="66"/>
      <x:c r="F56" s="66"/>
      <x:c r="G56" s="66"/>
      <x:c r="H56" s="66"/>
    </x:row>
    <x:row r="57">
      <x:c r="A57" s="73" t="str">
        <x:v>累计执行次数</x:v>
      </x:c>
      <x:c r="B57" s="74" t="n">
        <x:f>SUMIF(A5:A54,"&lt;&gt;",C5:C54)</x:f>
        <x:v>0</x:v>
      </x:c>
      <x:c r="C57" s="66"/>
      <x:c r="D57" s="66"/>
      <x:c r="E57" s="66"/>
      <x:c r="F57" s="66"/>
      <x:c r="G57" s="66"/>
      <x:c r="H57" s="66"/>
    </x:row>
    <x:row r="58">
      <x:c r="A58" s="73" t="str">
        <x:v>非产品原因失败数</x:v>
      </x:c>
      <x:c r="B58" s="74" t="n">
        <x:f>SUMIF(A5:A54,"&lt;&gt;",F5:F54)</x:f>
        <x:v>0</x:v>
      </x:c>
      <x:c r="C58" s="66"/>
      <x:c r="D58" s="66"/>
      <x:c r="E58" s="66"/>
      <x:c r="F58" s="66"/>
      <x:c r="G58" s="66"/>
      <x:c r="H58" s="66"/>
    </x:row>
    <x:row r="59">
      <x:c r="A59" s="73" t="str">
        <x:v>自动化执行稳定性</x:v>
      </x:c>
      <x:c r="B59" s="75" t="n">
        <x:f>IF(COUNT(A5:A54)&lt;50,0,IFERROR((B57-B58)/B57,0))</x:f>
        <x:v>0</x:v>
      </x:c>
      <x:c r="C59" s="66"/>
      <x:c r="D59" s="66"/>
      <x:c r="E59" s="66"/>
      <x:c r="F59" s="66"/>
      <x:c r="G59" s="66"/>
      <x:c r="H59" s="66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880001068115234" hidden="0" customWidth="1"/>
    <x:col min="2" max="2" width="12.380000114440918" hidden="0" customWidth="1"/>
    <x:col min="3" max="3" width="34" hidden="0" customWidth="1"/>
    <x:col min="4" max="4" width="6" hidden="0" customWidth="1"/>
    <x:col min="5" max="5" width="6" hidden="0" customWidth="1"/>
    <x:col min="6" max="6" width="7.880000114440918" hidden="0" customWidth="1"/>
    <x:col min="7" max="7" width="4.25" hidden="0" customWidth="1"/>
  </x:cols>
  <x:sheetData>
    <x:row r="1" ht="30" customHeight="1">
      <x:c r="A1" s="3" t="str">
        <x:v>缺陷注入检出率</x:v>
      </x:c>
      <x:c r="B1" s="3"/>
      <x:c r="C1" s="3"/>
      <x:c r="D1" s="3"/>
      <x:c r="E1" s="3"/>
      <x:c r="F1" s="3"/>
      <x:c r="G1" s="3"/>
    </x:row>
    <x:row r="2" ht="34" customHeight="1">
      <x:c r="A2" s="65" t="str">
        <x:v>为每个已知缺陷保留编号、类别、注入方法和检测结果；建议至少10个缺陷。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 ht="28" customHeight="1">
      <x:c r="A4" s="13" t="str">
        <x:v>缺陷编号</x:v>
      </x:c>
      <x:c r="B4" s="14" t="str">
        <x:v>类别</x:v>
      </x:c>
      <x:c r="C4" s="14" t="str">
        <x:v>注入说明</x:v>
      </x:c>
      <x:c r="D4" s="14" t="str">
        <x:v>已注入</x:v>
      </x:c>
      <x:c r="E4" s="14" t="str">
        <x:v>已检测</x:v>
      </x:c>
      <x:c r="F4" s="14" t="str">
        <x:v>对应用例</x:v>
      </x:c>
      <x:c r="G4" s="15" t="str">
        <x:v>备注</x:v>
      </x:c>
    </x:row>
    <x:row r="5">
      <x:c r="A5" s="76" t="str">
        <x:v>D01</x:v>
      </x:c>
      <x:c r="B5" s="68" t="str">
        <x:v>参数校验</x:v>
      </x:c>
      <x:c r="C5" s="68"/>
      <x:c r="D5" s="68"/>
      <x:c r="E5" s="68"/>
      <x:c r="F5" s="68"/>
      <x:c r="G5" s="69"/>
    </x:row>
    <x:row r="6">
      <x:c r="A6" s="76" t="str">
        <x:v>D02</x:v>
      </x:c>
      <x:c r="B6" s="68" t="str">
        <x:v>响应字段</x:v>
      </x:c>
      <x:c r="C6" s="68"/>
      <x:c r="D6" s="68"/>
      <x:c r="E6" s="68"/>
      <x:c r="F6" s="68"/>
      <x:c r="G6" s="69"/>
    </x:row>
    <x:row r="7">
      <x:c r="A7" s="76" t="str">
        <x:v>D03</x:v>
      </x:c>
      <x:c r="B7" s="68" t="str">
        <x:v>参数校验</x:v>
      </x:c>
      <x:c r="C7" s="68"/>
      <x:c r="D7" s="68"/>
      <x:c r="E7" s="68"/>
      <x:c r="F7" s="68"/>
      <x:c r="G7" s="69"/>
    </x:row>
    <x:row r="8">
      <x:c r="A8" s="76" t="str">
        <x:v>D04</x:v>
      </x:c>
      <x:c r="B8" s="68" t="str">
        <x:v>响应字段</x:v>
      </x:c>
      <x:c r="C8" s="68"/>
      <x:c r="D8" s="68"/>
      <x:c r="E8" s="68"/>
      <x:c r="F8" s="68"/>
      <x:c r="G8" s="69"/>
    </x:row>
    <x:row r="9">
      <x:c r="A9" s="76" t="str">
        <x:v>D05</x:v>
      </x:c>
      <x:c r="B9" s="68" t="str">
        <x:v>订单状态</x:v>
      </x:c>
      <x:c r="C9" s="68"/>
      <x:c r="D9" s="68"/>
      <x:c r="E9" s="68"/>
      <x:c r="F9" s="68"/>
      <x:c r="G9" s="69"/>
    </x:row>
    <x:row r="10">
      <x:c r="A10" s="76" t="str">
        <x:v>D06</x:v>
      </x:c>
      <x:c r="B10" s="68" t="str">
        <x:v>订单状态</x:v>
      </x:c>
      <x:c r="C10" s="68"/>
      <x:c r="D10" s="68"/>
      <x:c r="E10" s="68"/>
      <x:c r="F10" s="68"/>
      <x:c r="G10" s="69"/>
    </x:row>
    <x:row r="11">
      <x:c r="A11" s="76" t="str">
        <x:v>D07</x:v>
      </x:c>
      <x:c r="B11" s="68" t="str">
        <x:v>Redis一致性</x:v>
      </x:c>
      <x:c r="C11" s="68"/>
      <x:c r="D11" s="68"/>
      <x:c r="E11" s="68"/>
      <x:c r="F11" s="68"/>
      <x:c r="G11" s="69"/>
    </x:row>
    <x:row r="12">
      <x:c r="A12" s="76" t="str">
        <x:v>D08</x:v>
      </x:c>
      <x:c r="B12" s="68" t="str">
        <x:v>MySQL一致性</x:v>
      </x:c>
      <x:c r="C12" s="68"/>
      <x:c r="D12" s="68"/>
      <x:c r="E12" s="68"/>
      <x:c r="F12" s="68"/>
      <x:c r="G12" s="69"/>
    </x:row>
    <x:row r="13">
      <x:c r="A13" s="76" t="str">
        <x:v>D09</x:v>
      </x:c>
      <x:c r="B13" s="68" t="str">
        <x:v>MongoDB审计</x:v>
      </x:c>
      <x:c r="C13" s="68"/>
      <x:c r="D13" s="68"/>
      <x:c r="E13" s="68"/>
      <x:c r="F13" s="68"/>
      <x:c r="G13" s="69"/>
    </x:row>
    <x:row r="14">
      <x:c r="A14" s="78" t="str">
        <x:v>D10</x:v>
      </x:c>
      <x:c r="B14" s="71" t="str">
        <x:v>ClickHouse事件</x:v>
      </x:c>
      <x:c r="C14" s="71"/>
      <x:c r="D14" s="71"/>
      <x:c r="E14" s="71"/>
      <x:c r="F14" s="71"/>
      <x:c r="G14" s="72"/>
    </x:row>
    <x:row r="15">
      <x:c r="A15" s="66"/>
      <x:c r="B15" s="66"/>
      <x:c r="C15" s="66"/>
      <x:c r="D15" s="66"/>
      <x:c r="E15" s="66"/>
      <x:c r="F15" s="66"/>
      <x:c r="G15" s="66"/>
    </x:row>
    <x:row r="16">
      <x:c r="A16" s="73" t="str">
        <x:v>指标</x:v>
      </x:c>
      <x:c r="B16" s="74" t="str">
        <x:v>结果</x:v>
      </x:c>
      <x:c r="C16" s="66"/>
      <x:c r="D16" s="66"/>
      <x:c r="E16" s="66"/>
      <x:c r="F16" s="66"/>
      <x:c r="G16" s="66"/>
    </x:row>
    <x:row r="17">
      <x:c r="A17" s="73" t="str">
        <x:v>已注入缺陷数</x:v>
      </x:c>
      <x:c r="B17" s="74" t="n">
        <x:f>COUNTIF(D5:D14,TRUE)</x:f>
        <x:v>0</x:v>
      </x:c>
      <x:c r="C17" s="66"/>
      <x:c r="D17" s="66"/>
      <x:c r="E17" s="66"/>
      <x:c r="F17" s="66"/>
      <x:c r="G17" s="66"/>
    </x:row>
    <x:row r="18">
      <x:c r="A18" s="73" t="str">
        <x:v>缺陷注入检出率</x:v>
      </x:c>
      <x:c r="B18" s="75" t="n">
        <x:f>IFERROR(COUNTIFS(D5:D14,TRUE,E5:E14,TRUE)/B17,0)</x:f>
        <x:v>0</x:v>
      </x:c>
      <x:c r="C18" s="66"/>
      <x:c r="D18" s="66"/>
      <x:c r="E18" s="66"/>
      <x:c r="F18" s="66"/>
      <x:c r="G18" s="66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380001068115234" hidden="0" customWidth="1"/>
    <x:col min="2" max="2" width="36" hidden="0" customWidth="1"/>
    <x:col min="3" max="3" width="13.380000114440918" hidden="0" customWidth="1"/>
    <x:col min="4" max="4" width="7.880000114440918" hidden="0" customWidth="1"/>
    <x:col min="5" max="5" width="13.380000114440918" hidden="0" customWidth="1"/>
    <x:col min="6" max="6" width="7.880000114440918" hidden="0" customWidth="1"/>
    <x:col min="7" max="7" width="28" hidden="0" customWidth="1"/>
  </x:cols>
  <x:sheetData>
    <x:row r="1" ht="30" customHeight="1">
      <x:c r="A1" s="3" t="str">
        <x:v>维护及环境配置效率</x:v>
      </x:c>
      <x:c r="B1" s="3"/>
      <x:c r="C1" s="3"/>
      <x:c r="D1" s="3"/>
      <x:c r="E1" s="3"/>
      <x:c r="F1" s="3"/>
      <x:c r="G1" s="3"/>
    </x:row>
    <x:row r="2" ht="34" customHeight="1">
      <x:c r="A2" s="65" t="str">
        <x:v>使用同一个变更任务和同一台干净环境进行对照；所有耗时使用分钟。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 ht="28" customHeight="1">
      <x:c r="A4" s="13" t="str">
        <x:v>实验类型</x:v>
      </x:c>
      <x:c r="B4" s="14" t="str">
        <x:v>场景</x:v>
      </x:c>
      <x:c r="C4" s="14" t="str">
        <x:v>传统方式文件数</x:v>
      </x:c>
      <x:c r="D4" s="14" t="str">
        <x:v>传统耗时</x:v>
      </x:c>
      <x:c r="E4" s="14" t="str">
        <x:v>框架方式文件数</x:v>
      </x:c>
      <x:c r="F4" s="14" t="str">
        <x:v>框架耗时</x:v>
      </x:c>
      <x:c r="G4" s="15" t="str">
        <x:v>备注</x:v>
      </x:c>
    </x:row>
    <x:row r="5">
      <x:c r="A5" s="76" t="str">
        <x:v>维护</x:v>
      </x:c>
      <x:c r="B5" s="68" t="str">
        <x:v>所有订单接口增加X-Request-ID</x:v>
      </x:c>
      <x:c r="C5" s="68"/>
      <x:c r="D5" s="68"/>
      <x:c r="E5" s="68"/>
      <x:c r="F5" s="68"/>
      <x:c r="G5" s="69"/>
    </x:row>
    <x:row r="6">
      <x:c r="A6" s="76" t="str">
        <x:v>维护</x:v>
      </x:c>
      <x:c r="B6" s="68" t="str">
        <x:v>统一修改接口超时时间</x:v>
      </x:c>
      <x:c r="C6" s="68"/>
      <x:c r="D6" s="68"/>
      <x:c r="E6" s="68"/>
      <x:c r="F6" s="68"/>
      <x:c r="G6" s="69"/>
    </x:row>
    <x:row r="7">
      <x:c r="A7" s="78" t="str">
        <x:v>环境</x:v>
      </x:c>
      <x:c r="B7" s="71" t="str">
        <x:v>配置MySQL/Redis/MongoDB/ClickHouse</x:v>
      </x:c>
      <x:c r="C7" s="71"/>
      <x:c r="D7" s="71"/>
      <x:c r="E7" s="71"/>
      <x:c r="F7" s="71"/>
      <x:c r="G7" s="72" t="str">
        <x:v>传统安装 vs Docker Compose</x:v>
      </x:c>
    </x:row>
    <x:row r="8">
      <x:c r="A8" s="66"/>
      <x:c r="B8" s="66"/>
      <x:c r="C8" s="66"/>
      <x:c r="D8" s="66"/>
      <x:c r="E8" s="66"/>
      <x:c r="F8" s="66"/>
      <x:c r="G8" s="66"/>
    </x:row>
    <x:row r="9">
      <x:c r="A9" s="73" t="str">
        <x:v>指标</x:v>
      </x:c>
      <x:c r="B9" s="74" t="str">
        <x:v>结果</x:v>
      </x:c>
      <x:c r="C9" s="66"/>
      <x:c r="D9" s="66"/>
      <x:c r="E9" s="66"/>
      <x:c r="F9" s="66"/>
      <x:c r="G9" s="66"/>
    </x:row>
    <x:row r="10">
      <x:c r="A10" s="73" t="str">
        <x:v>维护耗时减少率</x:v>
      </x:c>
      <x:c r="B10" s="75" t="n">
        <x:f>IFERROR((AVERAGE(D5:D6)-AVERAGE(F5:F6))/AVERAGE(D5:D6),0)</x:f>
        <x:v>0</x:v>
      </x:c>
      <x:c r="C10" s="66"/>
      <x:c r="D10" s="66"/>
      <x:c r="E10" s="66"/>
      <x:c r="F10" s="66"/>
      <x:c r="G10" s="66"/>
    </x:row>
    <x:row r="11">
      <x:c r="A11" s="73" t="str">
        <x:v>环境配置耗时减少率</x:v>
      </x:c>
      <x:c r="B11" s="75" t="n">
        <x:f>IFERROR((D7-F7)/D7,0)</x:f>
        <x:v>0</x:v>
      </x:c>
      <x:c r="C11" s="66"/>
      <x:c r="D11" s="66"/>
      <x:c r="E11" s="66"/>
      <x:c r="F11" s="66"/>
      <x:c r="G11" s="66"/>
    </x:row>
    <x:row r="12">
      <x:c r="A12" s="73" t="str">
        <x:v>维护文件数减少率</x:v>
      </x:c>
      <x:c r="B12" s="75" t="n">
        <x:f>IFERROR((AVERAGE(C5:C6)-AVERAGE(E5:E6))/AVERAGE(C5:C6),0)</x:f>
        <x:v>0</x:v>
      </x:c>
      <x:c r="C12" s="66"/>
      <x:c r="D12" s="66"/>
      <x:c r="E12" s="66"/>
      <x:c r="F12" s="66"/>
      <x:c r="G12" s="66"/>
    </x:row>
  </x:sheetData>
  <x:mergeCells>
    <x:mergeCell ref="A1:G1"/>
    <x:mergeCell ref="A2:G2"/>
  </x:mergeCells>
  <x:pageMargins left="0.7" right="0.7" top="0.75" bottom="0.75" header="0.3" footer="0.3"/>
</x:worksheet>
</file>